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Func Cov" sheetId="2" state="visible" r:id="rId2"/>
    <sheet xmlns:r="http://schemas.openxmlformats.org/officeDocument/2006/relationships" name="SVA" sheetId="3" state="visible" r:id="rId3"/>
    <sheet xmlns:r="http://schemas.openxmlformats.org/officeDocument/2006/relationships" name="Legend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\%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13">
    <fill>
      <patternFill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9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E4620"/>
      </top>
      <bottom/>
      <diagonal/>
    </border>
    <border>
      <left/>
      <right/>
      <top style="medium">
        <color rgb="FF1E4620"/>
      </top>
      <bottom style="medium">
        <color rgb="FF1E462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3" borderId="3" applyAlignment="1" pivotButton="0" quotePrefix="0" xfId="0">
      <alignment horizontal="left" vertical="center"/>
    </xf>
    <xf numFmtId="164" fontId="3" fillId="5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5" fillId="7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left" vertical="center" wrapText="1"/>
    </xf>
    <xf numFmtId="0" fontId="6" fillId="11" borderId="8" applyAlignment="1" pivotButton="0" quotePrefix="0" xfId="0">
      <alignment horizontal="center" vertical="center" wrapText="1"/>
    </xf>
    <xf numFmtId="0" fontId="7" fillId="12" borderId="8" applyAlignment="1" pivotButton="0" quotePrefix="0" xfId="0">
      <alignment horizontal="left" vertical="center" wrapText="1"/>
    </xf>
    <xf numFmtId="164" fontId="6" fillId="8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4620"/>
    <outlinePr summaryBelow="1" summaryRight="1"/>
    <pageSetUpPr/>
  </sheetPr>
  <dimension ref="A2:L40"/>
  <sheetViews>
    <sheetView showGridLines="0" zoomScale="53" zoomScaleNormal="100" workbookViewId="0">
      <pane ySplit="3" topLeftCell="A4" activePane="bottomLeft" state="frozen"/>
      <selection pane="bottomLeft" activeCell="G21" sqref="G21"/>
    </sheetView>
  </sheetViews>
  <sheetFormatPr baseColWidth="8" defaultColWidth="8.6640625" defaultRowHeight="14.4"/>
  <cols>
    <col width="10" customWidth="1" min="1" max="1"/>
    <col width="42" customWidth="1" min="2" max="2"/>
    <col width="12" customWidth="1" min="3" max="3"/>
    <col width="10" customWidth="1" min="4" max="4"/>
    <col width="10" customWidth="1" min="5" max="5"/>
    <col width="35" customWidth="1" min="6" max="7"/>
    <col width="35" customWidth="1" min="7" max="7"/>
    <col width="12" customWidth="1" min="8" max="8"/>
    <col width="12" customWidth="1" min="9" max="9"/>
    <col width="10" customWidth="1" min="10" max="10"/>
    <col width="40" customWidth="1" min="11" max="11"/>
    <col width="22" customWidth="1" min="12" max="12"/>
  </cols>
  <sheetData>
    <row r="1" ht="7.5" customHeight="1"/>
    <row r="2" ht="22" customHeight="1">
      <c r="A2" s="16" t="inlineStr">
        <is>
          <t>Req ID</t>
        </is>
      </c>
      <c r="B2" s="16" t="inlineStr">
        <is>
          <t>Requirement Description</t>
        </is>
      </c>
      <c r="C2" s="16" t="inlineStr">
        <is>
          <t>Type</t>
        </is>
      </c>
      <c r="D2" s="16" t="inlineStr">
        <is>
          <t>Priority</t>
        </is>
      </c>
      <c r="E2" s="16" t="inlineStr">
        <is>
          <t>Test Case</t>
        </is>
      </c>
      <c r="F2" s="16" t="inlineStr">
        <is>
          <t>Expected Behavior</t>
        </is>
      </c>
      <c r="G2" s="16" t="inlineStr">
        <is>
          <t>Actual Behavior</t>
        </is>
      </c>
      <c r="H2" s="16" t="inlineStr">
        <is>
          <t>Status</t>
        </is>
      </c>
      <c r="I2" s="16" t="inlineStr">
        <is>
          <t>Coverage</t>
        </is>
      </c>
      <c r="J2" s="16" t="inlineStr">
        <is>
          <t>TC Ref</t>
        </is>
      </c>
      <c r="K2" s="16" t="inlineStr">
        <is>
          <t>Test Procedure</t>
        </is>
      </c>
      <c r="L2" s="16" t="inlineStr">
        <is>
          <t>Notes</t>
        </is>
      </c>
    </row>
    <row r="3" ht="28" customHeight="1">
      <c r="A3" s="17" t="inlineStr">
        <is>
          <t>REQ-001</t>
        </is>
      </c>
      <c r="B3" s="18" t="inlineStr">
        <is>
          <t>Even-numbered input routing: Router shall route Port 0 and Port 2 to data_out0 with Port 0 highest priority</t>
        </is>
      </c>
      <c r="C3" s="17" t="inlineStr">
        <is>
          <t>Functional</t>
        </is>
      </c>
      <c r="D3" s="17" t="inlineStr">
        <is>
          <t>High</t>
        </is>
      </c>
      <c r="E3" s="17" t="inlineStr">
        <is>
          <t>TC-001</t>
        </is>
      </c>
      <c r="F3" s="18" t="inlineStr">
        <is>
          <t>data_out0 = valid_in0 ? data_in0 : data_in2</t>
        </is>
      </c>
      <c r="G3" s="18" t="inlineStr">
        <is>
          <t>data_out0 = valid_in0 ? data_in0 : data_in2</t>
        </is>
      </c>
      <c r="H3" s="19" t="inlineStr">
        <is>
          <t>Verified</t>
        </is>
      </c>
      <c r="I3" s="17" t="inlineStr">
        <is>
          <t>100%</t>
        </is>
      </c>
      <c r="J3" s="17" t="inlineStr">
        <is>
          <t>TC-001</t>
        </is>
      </c>
      <c r="K3" s="18" t="inlineStr">
        <is>
          <t>Drive active valid on Port 0 and Port 2 simultaneously; verify Port 0 data appears on data_out0</t>
        </is>
      </c>
      <c r="L3" s="18" t="inlineStr">
        <is>
          <t>Priority verified</t>
        </is>
      </c>
    </row>
    <row r="4" ht="28" customHeight="1">
      <c r="A4" s="20" t="inlineStr">
        <is>
          <t>REQ-002</t>
        </is>
      </c>
      <c r="B4" s="21" t="inlineStr">
        <is>
          <t>Odd-numbered input routing: Router shall route Port 1 and Port 3 to data_out1 with Port 1 highest priority</t>
        </is>
      </c>
      <c r="C4" s="20" t="inlineStr">
        <is>
          <t>Functional</t>
        </is>
      </c>
      <c r="D4" s="20" t="inlineStr">
        <is>
          <t>High</t>
        </is>
      </c>
      <c r="E4" s="20" t="inlineStr">
        <is>
          <t>TC-002</t>
        </is>
      </c>
      <c r="F4" s="21" t="inlineStr">
        <is>
          <t>data_out1 = valid_in1 ? data_in1 : data_in3</t>
        </is>
      </c>
      <c r="G4" s="21" t="inlineStr">
        <is>
          <t>data_out1 = valid_in1 ? data_in1 : data_in3</t>
        </is>
      </c>
      <c r="H4" s="19" t="inlineStr">
        <is>
          <t>Verified</t>
        </is>
      </c>
      <c r="I4" s="20" t="inlineStr">
        <is>
          <t>100%</t>
        </is>
      </c>
      <c r="J4" s="20" t="inlineStr">
        <is>
          <t>TC-002</t>
        </is>
      </c>
      <c r="K4" s="21" t="inlineStr">
        <is>
          <t>Drive active valid on Port 1 and Port 3 simultaneously; verify Port 1 data appears on data_out1</t>
        </is>
      </c>
      <c r="L4" s="21" t="inlineStr">
        <is>
          <t>Priority verified</t>
        </is>
      </c>
    </row>
    <row r="5" ht="28" customHeight="1">
      <c r="A5" s="17" t="inlineStr">
        <is>
          <t>REQ-003</t>
        </is>
      </c>
      <c r="B5" s="18" t="inlineStr">
        <is>
          <t>Valid output assertion: Output valids shall assert whenever corresponding input valids are active</t>
        </is>
      </c>
      <c r="C5" s="17" t="inlineStr">
        <is>
          <t>Interface</t>
        </is>
      </c>
      <c r="D5" s="17" t="inlineStr">
        <is>
          <t>High</t>
        </is>
      </c>
      <c r="E5" s="17" t="inlineStr">
        <is>
          <t>TC-003</t>
        </is>
      </c>
      <c r="F5" s="18" t="inlineStr">
        <is>
          <t>valid_out0 = v0|v2,  valid_out1 = v1|v3</t>
        </is>
      </c>
      <c r="G5" s="18" t="inlineStr">
        <is>
          <t>valid_out0 = v0|v2,  valid_out1 = v1|v3</t>
        </is>
      </c>
      <c r="H5" s="19" t="inlineStr">
        <is>
          <t>Verified</t>
        </is>
      </c>
      <c r="I5" s="17" t="inlineStr">
        <is>
          <t>100%</t>
        </is>
      </c>
      <c r="J5" s="17" t="inlineStr">
        <is>
          <t>TC-003</t>
        </is>
      </c>
      <c r="K5" s="18" t="inlineStr">
        <is>
          <t>Monitor valid_out0 and valid_out1 under all valid_in combinations including all-inactive case</t>
        </is>
      </c>
      <c r="L5" s="18" t="inlineStr">
        <is>
          <t>Handshake verified</t>
        </is>
      </c>
    </row>
    <row r="6" ht="28" customHeight="1">
      <c r="A6" s="20" t="inlineStr">
        <is>
          <t>REQ-004</t>
        </is>
      </c>
      <c r="B6" s="21" t="inlineStr">
        <is>
          <t>UVM verbosity control: Log messages shall be filtered across LOW, MEDIUM, HIGH, and FULL levels</t>
        </is>
      </c>
      <c r="C6" s="20" t="inlineStr">
        <is>
          <t>Functional</t>
        </is>
      </c>
      <c r="D6" s="22" t="inlineStr">
        <is>
          <t>Critical</t>
        </is>
      </c>
      <c r="E6" s="20" t="inlineStr">
        <is>
          <t>TC-004</t>
        </is>
      </c>
      <c r="F6" s="21" t="inlineStr">
        <is>
          <t>LOW:16  MED:26  HIGH:271  FULL:411 UVM_INFO messages</t>
        </is>
      </c>
      <c r="G6" s="21" t="inlineStr">
        <is>
          <t>LOW:16  MED:26  HIGH:271  FULL:411 UVM_INFO messages</t>
        </is>
      </c>
      <c r="H6" s="19" t="inlineStr">
        <is>
          <t>Verified</t>
        </is>
      </c>
      <c r="I6" s="20" t="inlineStr">
        <is>
          <t>100%</t>
        </is>
      </c>
      <c r="J6" s="20" t="inlineStr">
        <is>
          <t>TC-004</t>
        </is>
      </c>
      <c r="K6" s="21" t="inlineStr">
        <is>
          <t>Run 4 automated simulations with +UVM_VERBOSITY flag; compare report summary counts against expected values</t>
        </is>
      </c>
      <c r="L6" s="21" t="inlineStr">
        <is>
          <t>Exact counts verified</t>
        </is>
      </c>
    </row>
    <row r="7" ht="28" customHeight="1">
      <c r="A7" s="17" t="inlineStr">
        <is>
          <t>REQ-005</t>
        </is>
      </c>
      <c r="B7" s="18" t="inlineStr">
        <is>
          <t>Dynamic agent configuration: Active/passive mode set via router_config in uvm_config_db at runtime</t>
        </is>
      </c>
      <c r="C7" s="17" t="inlineStr">
        <is>
          <t>Functional</t>
        </is>
      </c>
      <c r="D7" s="17" t="inlineStr">
        <is>
          <t>High</t>
        </is>
      </c>
      <c r="E7" s="17" t="inlineStr">
        <is>
          <t>TC-005</t>
        </is>
      </c>
      <c r="F7" s="18" t="inlineStr">
        <is>
          <t>Driver and Sequencer created only when UVM_ACTIVE</t>
        </is>
      </c>
      <c r="G7" s="18" t="inlineStr">
        <is>
          <t>Driver and Sequencer created only when UVM_ACTIVE</t>
        </is>
      </c>
      <c r="H7" s="19" t="inlineStr">
        <is>
          <t>Verified</t>
        </is>
      </c>
      <c r="I7" s="17" t="inlineStr">
        <is>
          <t>100%</t>
        </is>
      </c>
      <c r="J7" s="17" t="inlineStr">
        <is>
          <t>TC-005</t>
        </is>
      </c>
      <c r="K7" s="18" t="inlineStr">
        <is>
          <t>Pass router_config with is_active = UVM_ACTIVE; verify driver and sequencer are instantiated; repeat for UVM_PASSIVE</t>
        </is>
      </c>
      <c r="L7" s="18" t="inlineStr">
        <is>
          <t>Dynamic mode verified</t>
        </is>
      </c>
    </row>
    <row r="8" ht="28" customHeight="1">
      <c r="A8" s="20" t="inlineStr">
        <is>
          <t>REQ-006</t>
        </is>
      </c>
      <c r="B8" s="21" t="inlineStr">
        <is>
          <t>100% functional coverage: Cover all valid_in bins, data boundary values 0x00 &amp; 0xFF, and valid cross products</t>
        </is>
      </c>
      <c r="C8" s="20" t="inlineStr">
        <is>
          <t>Functional</t>
        </is>
      </c>
      <c r="D8" s="20" t="inlineStr">
        <is>
          <t>High</t>
        </is>
      </c>
      <c r="E8" s="20" t="inlineStr">
        <is>
          <t>TC-006</t>
        </is>
      </c>
      <c r="F8" s="21" t="inlineStr">
        <is>
          <t>Coverage target: 100.00%</t>
        </is>
      </c>
      <c r="G8" s="21" t="inlineStr">
        <is>
          <t>Coverage achieved: 100.00%</t>
        </is>
      </c>
      <c r="H8" s="19" t="inlineStr">
        <is>
          <t>Verified</t>
        </is>
      </c>
      <c r="I8" s="20" t="inlineStr">
        <is>
          <t>100%</t>
        </is>
      </c>
      <c r="J8" s="20" t="inlineStr">
        <is>
          <t>TC-006</t>
        </is>
      </c>
      <c r="K8" s="21" t="inlineStr">
        <is>
          <t>Execute directed corner-case sequence items (0x00, 0xFF, all-inactive valids) then 100 random transactions</t>
        </is>
      </c>
      <c r="L8" s="21" t="inlineStr">
        <is>
          <t>100.00% achieved</t>
        </is>
      </c>
    </row>
    <row r="9" ht="28" customHeight="1">
      <c r="A9" s="17" t="inlineStr">
        <is>
          <t>REQ-007</t>
        </is>
      </c>
      <c r="B9" s="18" t="inlineStr">
        <is>
          <t>Self-verifying scoreboard: Golden reference model shall detect any routing mismatch with 0 errors</t>
        </is>
      </c>
      <c r="C9" s="17" t="inlineStr">
        <is>
          <t>Safety</t>
        </is>
      </c>
      <c r="D9" s="22" t="inlineStr">
        <is>
          <t>Critical</t>
        </is>
      </c>
      <c r="E9" s="17" t="inlineStr">
        <is>
          <t>TC-007</t>
        </is>
      </c>
      <c r="F9" s="18" t="inlineStr">
        <is>
          <t>PASS &gt; 200,  FAIL = 0</t>
        </is>
      </c>
      <c r="G9" s="18" t="inlineStr">
        <is>
          <t>PASS = 236,  FAIL = 0</t>
        </is>
      </c>
      <c r="H9" s="19" t="inlineStr">
        <is>
          <t>Verified</t>
        </is>
      </c>
      <c r="I9" s="17" t="inlineStr">
        <is>
          <t>100%</t>
        </is>
      </c>
      <c r="J9" s="17" t="inlineStr">
        <is>
          <t>TC-007</t>
        </is>
      </c>
      <c r="K9" s="18" t="inlineStr">
        <is>
          <t>Compare all sampled output items against golden model; any mismatch increments FAIL counter and raises UVM_ERROR</t>
        </is>
      </c>
      <c r="L9" s="18" t="inlineStr">
        <is>
          <t>0 errors verified</t>
        </is>
      </c>
    </row>
    <row r="10" ht="28" customHeight="1">
      <c r="A10" s="4" t="n"/>
    </row>
    <row r="11" ht="8" customHeight="1">
      <c r="A11" s="11" t="n"/>
      <c r="B11" s="3" t="n"/>
    </row>
    <row r="12" ht="20" customHeight="1">
      <c r="A12" s="23" t="inlineStr">
        <is>
          <t>Summary Statistics</t>
        </is>
      </c>
      <c r="B12" s="3" t="n"/>
    </row>
    <row r="13" ht="20" customHeight="1">
      <c r="A13" s="23" t="inlineStr">
        <is>
          <t>Total Requirements</t>
        </is>
      </c>
      <c r="B13" s="17">
        <f>COUNTA(A3:A9)</f>
        <v/>
      </c>
    </row>
    <row r="14" ht="20" customHeight="1">
      <c r="A14" s="23" t="inlineStr">
        <is>
          <t>Verified</t>
        </is>
      </c>
      <c r="B14" s="17">
        <f>COUNTIF(H3:H9,"Verified")</f>
        <v/>
      </c>
    </row>
    <row r="15" ht="20" customHeight="1">
      <c r="A15" s="23" t="inlineStr">
        <is>
          <t>Failed</t>
        </is>
      </c>
      <c r="B15" s="24">
        <f>COUNTIF(H3:H9,"Failed")</f>
        <v/>
      </c>
    </row>
    <row r="16" ht="20" customHeight="1">
      <c r="A16" s="23" t="inlineStr">
        <is>
          <t>Pending</t>
        </is>
      </c>
      <c r="B16" s="17">
        <f>COUNTIF(H3:H9,"Pending")</f>
        <v/>
      </c>
    </row>
    <row r="17" ht="20" customHeight="1">
      <c r="A17" s="23" t="inlineStr">
        <is>
          <t>Coverage %</t>
        </is>
      </c>
      <c r="B17" s="17">
        <f>IFERROR(COUNTIF(H3:H9,"Verified")/COUNTA(A3:A9)*100,0)</f>
        <v/>
      </c>
    </row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</sheetData>
  <dataValidations count="3">
    <dataValidation sqref="C4:C8" showDropDown="0" showInputMessage="0" showErrorMessage="0" allowBlank="1" type="list">
      <formula1>"Functional,Timing,Interface,Safety,Structural"</formula1>
      <formula2>0</formula2>
    </dataValidation>
    <dataValidation sqref="D4:D8" showDropDown="0" showInputMessage="0" showErrorMessage="0" allowBlank="1" type="list">
      <formula1>"Critical,High,Medium,Low"</formula1>
      <formula2>0</formula2>
    </dataValidation>
    <dataValidation sqref="H4:H8" showDropDown="0" showInputMessage="0" showErrorMessage="0" allowBlank="1" type="list">
      <formula1>"Verified,Failed,Pending,Blocked,N/A"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E4620"/>
    <outlinePr summaryBelow="1" summaryRight="1"/>
    <pageSetUpPr/>
  </sheetPr>
  <dimension ref="A2:J4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0" customWidth="1" min="1" max="1"/>
    <col width="12" customWidth="1" min="2" max="2"/>
    <col width="20" customWidth="1" min="3" max="3"/>
    <col width="38" customWidth="1" min="4" max="4"/>
    <col width="10" customWidth="1" min="5" max="5"/>
    <col width="34" customWidth="1" min="6" max="6"/>
    <col width="12" customWidth="1" min="7" max="7"/>
    <col width="14" customWidth="1" min="8" max="10"/>
    <col width="14" customWidth="1" min="9" max="9"/>
    <col width="10" customWidth="1" min="10" max="10"/>
  </cols>
  <sheetData>
    <row r="1" ht="7.5" customHeight="1"/>
    <row r="2" ht="22" customHeight="1">
      <c r="A2" s="16" t="inlineStr">
        <is>
          <t>CG ID</t>
        </is>
      </c>
      <c r="B2" s="16" t="inlineStr">
        <is>
          <t>Covergroup</t>
        </is>
      </c>
      <c r="C2" s="16" t="inlineStr">
        <is>
          <t>Coverpoint / Cross</t>
        </is>
      </c>
      <c r="D2" s="16" t="inlineStr">
        <is>
          <t>Description</t>
        </is>
      </c>
      <c r="E2" s="16" t="inlineStr">
        <is>
          <t>Type</t>
        </is>
      </c>
      <c r="F2" s="16" t="inlineStr">
        <is>
          <t>Bins / Values</t>
        </is>
      </c>
      <c r="G2" s="16" t="inlineStr">
        <is>
          <t>Weight</t>
        </is>
      </c>
      <c r="H2" s="16" t="inlineStr">
        <is>
          <t>Num Bins</t>
        </is>
      </c>
      <c r="I2" s="16" t="inlineStr">
        <is>
          <t>Bins Hit</t>
        </is>
      </c>
      <c r="J2" s="16" t="inlineStr">
        <is>
          <t>Status</t>
        </is>
      </c>
    </row>
    <row r="3" ht="28" customHeight="1">
      <c r="A3" s="17" t="inlineStr">
        <is>
          <t>CG-001</t>
        </is>
      </c>
      <c r="B3" s="17" t="inlineStr">
        <is>
          <t>cg_router</t>
        </is>
      </c>
      <c r="C3" s="18" t="inlineStr">
        <is>
          <t>cp_valid0</t>
        </is>
      </c>
      <c r="D3" s="18" t="inlineStr">
        <is>
          <t>Covers valid_in0 active (1) and inactive (0) states</t>
        </is>
      </c>
      <c r="E3" s="17" t="inlineStr">
        <is>
          <t>bin</t>
        </is>
      </c>
      <c r="F3" s="18" t="inlineStr">
        <is>
          <t>0, 1</t>
        </is>
      </c>
      <c r="G3" s="17" t="n">
        <v>1</v>
      </c>
      <c r="H3" s="17" t="n">
        <v>2</v>
      </c>
      <c r="I3" s="17" t="n">
        <v>2</v>
      </c>
      <c r="J3" s="19" t="inlineStr">
        <is>
          <t>Hit</t>
        </is>
      </c>
    </row>
    <row r="4" ht="28" customHeight="1">
      <c r="A4" s="20" t="inlineStr">
        <is>
          <t>CG-001</t>
        </is>
      </c>
      <c r="B4" s="20" t="inlineStr">
        <is>
          <t>cg_router</t>
        </is>
      </c>
      <c r="C4" s="21" t="inlineStr">
        <is>
          <t>cp_valid1</t>
        </is>
      </c>
      <c r="D4" s="21" t="inlineStr">
        <is>
          <t>Covers valid_in1 active (1) and inactive (0) states</t>
        </is>
      </c>
      <c r="E4" s="20" t="inlineStr">
        <is>
          <t>bin</t>
        </is>
      </c>
      <c r="F4" s="21" t="inlineStr">
        <is>
          <t>0, 1</t>
        </is>
      </c>
      <c r="G4" s="20" t="n">
        <v>1</v>
      </c>
      <c r="H4" s="20" t="n">
        <v>2</v>
      </c>
      <c r="I4" s="20" t="n">
        <v>2</v>
      </c>
      <c r="J4" s="19" t="inlineStr">
        <is>
          <t>Hit</t>
        </is>
      </c>
    </row>
    <row r="5" ht="28" customHeight="1">
      <c r="A5" s="17" t="inlineStr">
        <is>
          <t>CG-001</t>
        </is>
      </c>
      <c r="B5" s="17" t="inlineStr">
        <is>
          <t>cg_router</t>
        </is>
      </c>
      <c r="C5" s="18" t="inlineStr">
        <is>
          <t>cp_valid2</t>
        </is>
      </c>
      <c r="D5" s="18" t="inlineStr">
        <is>
          <t>Covers valid_in2 active (1) and inactive (0) states</t>
        </is>
      </c>
      <c r="E5" s="17" t="inlineStr">
        <is>
          <t>bin</t>
        </is>
      </c>
      <c r="F5" s="18" t="inlineStr">
        <is>
          <t>0, 1</t>
        </is>
      </c>
      <c r="G5" s="17" t="n">
        <v>1</v>
      </c>
      <c r="H5" s="17" t="n">
        <v>2</v>
      </c>
      <c r="I5" s="17" t="n">
        <v>2</v>
      </c>
      <c r="J5" s="19" t="inlineStr">
        <is>
          <t>Hit</t>
        </is>
      </c>
    </row>
    <row r="6" ht="28" customHeight="1">
      <c r="A6" s="20" t="inlineStr">
        <is>
          <t>CG-001</t>
        </is>
      </c>
      <c r="B6" s="20" t="inlineStr">
        <is>
          <t>cg_router</t>
        </is>
      </c>
      <c r="C6" s="21" t="inlineStr">
        <is>
          <t>cp_valid3</t>
        </is>
      </c>
      <c r="D6" s="21" t="inlineStr">
        <is>
          <t>Covers valid_in3 active (1) and inactive (0) states</t>
        </is>
      </c>
      <c r="E6" s="20" t="inlineStr">
        <is>
          <t>bin</t>
        </is>
      </c>
      <c r="F6" s="21" t="inlineStr">
        <is>
          <t>0, 1</t>
        </is>
      </c>
      <c r="G6" s="20" t="n">
        <v>1</v>
      </c>
      <c r="H6" s="20" t="n">
        <v>2</v>
      </c>
      <c r="I6" s="20" t="n">
        <v>2</v>
      </c>
      <c r="J6" s="19" t="inlineStr">
        <is>
          <t>Hit</t>
        </is>
      </c>
    </row>
    <row r="7" ht="28" customHeight="1">
      <c r="A7" s="17" t="inlineStr">
        <is>
          <t>CG-002</t>
        </is>
      </c>
      <c r="B7" s="17" t="inlineStr">
        <is>
          <t>cg_router</t>
        </is>
      </c>
      <c r="C7" s="18" t="inlineStr">
        <is>
          <t>cp_data0</t>
        </is>
      </c>
      <c r="D7" s="18" t="inlineStr">
        <is>
          <t>Covers data_in0 in four ranges: zero (0x00), low (1-127), high (128-254), max (0xFF)</t>
        </is>
      </c>
      <c r="E7" s="17" t="inlineStr">
        <is>
          <t>bin</t>
        </is>
      </c>
      <c r="F7" s="18" t="inlineStr">
        <is>
          <t>0 | 1..127 | 128..254 | 255</t>
        </is>
      </c>
      <c r="G7" s="17" t="n">
        <v>1</v>
      </c>
      <c r="H7" s="17" t="n">
        <v>4</v>
      </c>
      <c r="I7" s="17" t="n">
        <v>4</v>
      </c>
      <c r="J7" s="19" t="inlineStr">
        <is>
          <t>Hit</t>
        </is>
      </c>
    </row>
    <row r="8" ht="28" customHeight="1">
      <c r="A8" s="20" t="inlineStr">
        <is>
          <t>CG-002</t>
        </is>
      </c>
      <c r="B8" s="20" t="inlineStr">
        <is>
          <t>cg_router</t>
        </is>
      </c>
      <c r="C8" s="21" t="inlineStr">
        <is>
          <t>cp_data1</t>
        </is>
      </c>
      <c r="D8" s="21" t="inlineStr">
        <is>
          <t>Covers data_in1 in four ranges: zero (0x00), low (1-127), high (128-254), max (0xFF)</t>
        </is>
      </c>
      <c r="E8" s="20" t="inlineStr">
        <is>
          <t>bin</t>
        </is>
      </c>
      <c r="F8" s="21" t="inlineStr">
        <is>
          <t>0 | 1..127 | 128..254 | 255</t>
        </is>
      </c>
      <c r="G8" s="20" t="n">
        <v>1</v>
      </c>
      <c r="H8" s="20" t="n">
        <v>4</v>
      </c>
      <c r="I8" s="20" t="n">
        <v>4</v>
      </c>
      <c r="J8" s="19" t="inlineStr">
        <is>
          <t>Hit</t>
        </is>
      </c>
    </row>
    <row r="9" ht="28" customHeight="1">
      <c r="A9" s="17" t="inlineStr">
        <is>
          <t>CG-002</t>
        </is>
      </c>
      <c r="B9" s="17" t="inlineStr">
        <is>
          <t>cg_router</t>
        </is>
      </c>
      <c r="C9" s="18" t="inlineStr">
        <is>
          <t>cp_data2</t>
        </is>
      </c>
      <c r="D9" s="18" t="inlineStr">
        <is>
          <t>Covers data_in2 in four ranges: zero (0x00), low (1-127), high (128-254), max (0xFF)</t>
        </is>
      </c>
      <c r="E9" s="17" t="inlineStr">
        <is>
          <t>bin</t>
        </is>
      </c>
      <c r="F9" s="18" t="inlineStr">
        <is>
          <t>0 | 1..127 | 128..254 | 255</t>
        </is>
      </c>
      <c r="G9" s="17" t="n">
        <v>1</v>
      </c>
      <c r="H9" s="17" t="n">
        <v>4</v>
      </c>
      <c r="I9" s="17" t="n">
        <v>4</v>
      </c>
      <c r="J9" s="19" t="inlineStr">
        <is>
          <t>Hit</t>
        </is>
      </c>
    </row>
    <row r="10" ht="28" customHeight="1">
      <c r="A10" s="20" t="inlineStr">
        <is>
          <t>CG-002</t>
        </is>
      </c>
      <c r="B10" s="20" t="inlineStr">
        <is>
          <t>cg_router</t>
        </is>
      </c>
      <c r="C10" s="21" t="inlineStr">
        <is>
          <t>cp_data3</t>
        </is>
      </c>
      <c r="D10" s="21" t="inlineStr">
        <is>
          <t>Covers data_in3 in four ranges: zero (0x00), low (1-127), high (128-254), max (0xFF)</t>
        </is>
      </c>
      <c r="E10" s="20" t="inlineStr">
        <is>
          <t>bin</t>
        </is>
      </c>
      <c r="F10" s="21" t="inlineStr">
        <is>
          <t>0 | 1..127 | 128..254 | 255</t>
        </is>
      </c>
      <c r="G10" s="20" t="n">
        <v>1</v>
      </c>
      <c r="H10" s="20" t="n">
        <v>4</v>
      </c>
      <c r="I10" s="20" t="n">
        <v>4</v>
      </c>
      <c r="J10" s="19" t="inlineStr">
        <is>
          <t>Hit</t>
        </is>
      </c>
    </row>
    <row r="11" ht="28" customHeight="1">
      <c r="A11" s="17" t="inlineStr">
        <is>
          <t>CG-003</t>
        </is>
      </c>
      <c r="B11" s="17" t="inlineStr">
        <is>
          <t>cg_router</t>
        </is>
      </c>
      <c r="C11" s="18" t="inlineStr">
        <is>
          <t>cross_even_ports</t>
        </is>
      </c>
      <c r="D11" s="18" t="inlineStr">
        <is>
          <t>Cross of cp_valid0 x cp_valid2 — covers all 4 priority combinations for even output (out0)</t>
        </is>
      </c>
      <c r="E11" s="17" t="inlineStr">
        <is>
          <t>cross</t>
        </is>
      </c>
      <c r="F11" s="18" t="inlineStr">
        <is>
          <t>(0,0) | (0,1) | (1,0) | (1,1)</t>
        </is>
      </c>
      <c r="G11" s="17" t="n">
        <v>1</v>
      </c>
      <c r="H11" s="17" t="n">
        <v>4</v>
      </c>
      <c r="I11" s="17" t="n">
        <v>4</v>
      </c>
      <c r="J11" s="19" t="inlineStr">
        <is>
          <t>Hit</t>
        </is>
      </c>
    </row>
    <row r="12" ht="28" customHeight="1">
      <c r="A12" s="20" t="inlineStr">
        <is>
          <t>CG-003</t>
        </is>
      </c>
      <c r="B12" s="20" t="inlineStr">
        <is>
          <t>cg_router</t>
        </is>
      </c>
      <c r="C12" s="21" t="inlineStr">
        <is>
          <t>cross_odd_ports</t>
        </is>
      </c>
      <c r="D12" s="21" t="inlineStr">
        <is>
          <t>Cross of cp_valid1 x cp_valid3 — covers all 4 priority combinations for odd output (out1)</t>
        </is>
      </c>
      <c r="E12" s="20" t="inlineStr">
        <is>
          <t>cross</t>
        </is>
      </c>
      <c r="F12" s="21" t="inlineStr">
        <is>
          <t>(0,0) | (0,1) | (1,0) | (1,1)</t>
        </is>
      </c>
      <c r="G12" s="20" t="n">
        <v>1</v>
      </c>
      <c r="H12" s="20" t="n">
        <v>4</v>
      </c>
      <c r="I12" s="20" t="n">
        <v>4</v>
      </c>
      <c r="J12" s="19" t="inlineStr">
        <is>
          <t>Hit</t>
        </is>
      </c>
    </row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</sheetData>
  <dataValidations count="2">
    <dataValidation sqref="E4:E9" showDropDown="0" showInputMessage="0" showErrorMessage="0" allowBlank="1" type="list">
      <formula1>"bin,cross,transition,wildcard"</formula1>
      <formula2>0</formula2>
    </dataValidation>
    <dataValidation sqref="J4:J9" showDropDown="0" showInputMessage="0" showErrorMessage="0" allowBlank="1" type="list">
      <formula1>"Hit,Miss,Pending"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E4620"/>
    <outlinePr summaryBelow="1" summaryRight="1"/>
    <pageSetUpPr/>
  </sheetPr>
  <dimension ref="A2:I4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0" customWidth="1" min="1" max="1"/>
    <col width="28" customWidth="1" min="2" max="2"/>
    <col width="12" customWidth="1" min="3" max="3"/>
    <col width="52" customWidth="1" min="4" max="4"/>
    <col width="10" customWidth="1" min="5" max="5"/>
    <col width="12" customWidth="1" min="6" max="6"/>
    <col width="14" customWidth="1" min="7" max="8"/>
    <col width="14" customWidth="1" min="8" max="8"/>
    <col width="14" customWidth="1" min="9" max="9"/>
  </cols>
  <sheetData>
    <row r="1" ht="7.5" customHeight="1"/>
    <row r="2" ht="22" customHeight="1">
      <c r="A2" s="16" t="inlineStr">
        <is>
          <t>SVA ID</t>
        </is>
      </c>
      <c r="B2" s="16" t="inlineStr">
        <is>
          <t>Property Name</t>
        </is>
      </c>
      <c r="C2" s="16" t="inlineStr">
        <is>
          <t>Type</t>
        </is>
      </c>
      <c r="D2" s="16" t="inlineStr">
        <is>
          <t>Assertion Expression</t>
        </is>
      </c>
      <c r="E2" s="16" t="inlineStr">
        <is>
          <t>Req Ref</t>
        </is>
      </c>
      <c r="F2" s="16" t="inlineStr">
        <is>
          <t>Category</t>
        </is>
      </c>
      <c r="G2" s="16" t="inlineStr">
        <is>
          <t>Formal Result</t>
        </is>
      </c>
      <c r="H2" s="16" t="inlineStr">
        <is>
          <t>Sim Result</t>
        </is>
      </c>
      <c r="I2" s="16" t="inlineStr">
        <is>
          <t>Overall</t>
        </is>
      </c>
    </row>
    <row r="3" ht="28" customHeight="1">
      <c r="A3" s="17" t="inlineStr">
        <is>
          <t>SVA-001</t>
        </is>
      </c>
      <c r="B3" s="18" t="inlineStr">
        <is>
          <t>p_port0_priority_out0</t>
        </is>
      </c>
      <c r="C3" s="17" t="inlineStr">
        <is>
          <t>concurrent</t>
        </is>
      </c>
      <c r="D3" s="18" t="inlineStr">
        <is>
          <t>@(posedge clk) valid_in0 |-&gt; (data_out0 == data_in0)</t>
        </is>
      </c>
      <c r="E3" s="17" t="inlineStr">
        <is>
          <t>REQ-001</t>
        </is>
      </c>
      <c r="F3" s="17" t="inlineStr">
        <is>
          <t>Functional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</row>
    <row r="4" ht="28" customHeight="1">
      <c r="A4" s="20" t="inlineStr">
        <is>
          <t>SVA-002</t>
        </is>
      </c>
      <c r="B4" s="21" t="inlineStr">
        <is>
          <t>p_port2_fallback_out0</t>
        </is>
      </c>
      <c r="C4" s="20" t="inlineStr">
        <is>
          <t>concurrent</t>
        </is>
      </c>
      <c r="D4" s="21" t="inlineStr">
        <is>
          <t>@(posedge clk) (!valid_in0 &amp;&amp; valid_in2) |-&gt; (data_out0 == data_in2)</t>
        </is>
      </c>
      <c r="E4" s="20" t="inlineStr">
        <is>
          <t>REQ-001</t>
        </is>
      </c>
      <c r="F4" s="20" t="inlineStr">
        <is>
          <t>Functional</t>
        </is>
      </c>
      <c r="G4" s="19" t="inlineStr">
        <is>
          <t>Pass</t>
        </is>
      </c>
      <c r="H4" s="19" t="inlineStr">
        <is>
          <t>Pass</t>
        </is>
      </c>
      <c r="I4" s="19" t="inlineStr">
        <is>
          <t>Pass</t>
        </is>
      </c>
    </row>
    <row r="5" ht="28" customHeight="1">
      <c r="A5" s="17" t="inlineStr">
        <is>
          <t>SVA-003</t>
        </is>
      </c>
      <c r="B5" s="18" t="inlineStr">
        <is>
          <t>p_port1_priority_out1</t>
        </is>
      </c>
      <c r="C5" s="17" t="inlineStr">
        <is>
          <t>concurrent</t>
        </is>
      </c>
      <c r="D5" s="18" t="inlineStr">
        <is>
          <t>@(posedge clk) valid_in1 |-&gt; (data_out1 == data_in1)</t>
        </is>
      </c>
      <c r="E5" s="17" t="inlineStr">
        <is>
          <t>REQ-002</t>
        </is>
      </c>
      <c r="F5" s="17" t="inlineStr">
        <is>
          <t>Functional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</row>
    <row r="6" ht="28" customHeight="1">
      <c r="A6" s="20" t="inlineStr">
        <is>
          <t>SVA-004</t>
        </is>
      </c>
      <c r="B6" s="21" t="inlineStr">
        <is>
          <t>p_port3_fallback_out1</t>
        </is>
      </c>
      <c r="C6" s="20" t="inlineStr">
        <is>
          <t>concurrent</t>
        </is>
      </c>
      <c r="D6" s="21" t="inlineStr">
        <is>
          <t>@(posedge clk) (!valid_in1 &amp;&amp; valid_in3) |-&gt; (data_out1 == data_in3)</t>
        </is>
      </c>
      <c r="E6" s="20" t="inlineStr">
        <is>
          <t>REQ-002</t>
        </is>
      </c>
      <c r="F6" s="20" t="inlineStr">
        <is>
          <t>Functional</t>
        </is>
      </c>
      <c r="G6" s="19" t="inlineStr">
        <is>
          <t>Pass</t>
        </is>
      </c>
      <c r="H6" s="19" t="inlineStr">
        <is>
          <t>Pass</t>
        </is>
      </c>
      <c r="I6" s="19" t="inlineStr">
        <is>
          <t>Pass</t>
        </is>
      </c>
    </row>
    <row r="7" ht="28" customHeight="1">
      <c r="A7" s="17" t="inlineStr">
        <is>
          <t>SVA-005</t>
        </is>
      </c>
      <c r="B7" s="18" t="inlineStr">
        <is>
          <t>p_valid_out0_assert</t>
        </is>
      </c>
      <c r="C7" s="17" t="inlineStr">
        <is>
          <t>concurrent</t>
        </is>
      </c>
      <c r="D7" s="18" t="inlineStr">
        <is>
          <t>@(posedge clk) (valid_in0 || valid_in2) |-&gt; valid_out0</t>
        </is>
      </c>
      <c r="E7" s="17" t="inlineStr">
        <is>
          <t>REQ-003</t>
        </is>
      </c>
      <c r="F7" s="17" t="inlineStr">
        <is>
          <t>Interface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</row>
    <row r="8" ht="28" customHeight="1">
      <c r="A8" s="20" t="inlineStr">
        <is>
          <t>SVA-006</t>
        </is>
      </c>
      <c r="B8" s="21" t="inlineStr">
        <is>
          <t>p_valid_out1_assert</t>
        </is>
      </c>
      <c r="C8" s="20" t="inlineStr">
        <is>
          <t>concurrent</t>
        </is>
      </c>
      <c r="D8" s="21" t="inlineStr">
        <is>
          <t>@(posedge clk) (valid_in1 || valid_in3) |-&gt; valid_out1</t>
        </is>
      </c>
      <c r="E8" s="20" t="inlineStr">
        <is>
          <t>REQ-003</t>
        </is>
      </c>
      <c r="F8" s="20" t="inlineStr">
        <is>
          <t>Interface</t>
        </is>
      </c>
      <c r="G8" s="19" t="inlineStr">
        <is>
          <t>Pass</t>
        </is>
      </c>
      <c r="H8" s="19" t="inlineStr">
        <is>
          <t>Pass</t>
        </is>
      </c>
      <c r="I8" s="19" t="inlineStr">
        <is>
          <t>Pass</t>
        </is>
      </c>
    </row>
    <row r="9" ht="28" customHeight="1">
      <c r="A9" s="17" t="inlineStr">
        <is>
          <t>SVA-007</t>
        </is>
      </c>
      <c r="B9" s="18" t="inlineStr">
        <is>
          <t>p_no_unknown_out0</t>
        </is>
      </c>
      <c r="C9" s="17" t="inlineStr">
        <is>
          <t>immediate</t>
        </is>
      </c>
      <c r="D9" s="18" t="inlineStr">
        <is>
          <t>assert final (!valid_out0 || !$isunknown(data_out0))</t>
        </is>
      </c>
      <c r="E9" s="17" t="inlineStr">
        <is>
          <t>REQ-007</t>
        </is>
      </c>
      <c r="F9" s="17" t="inlineStr">
        <is>
          <t>Structural</t>
        </is>
      </c>
      <c r="G9" s="19" t="inlineStr">
        <is>
          <t>Pass</t>
        </is>
      </c>
      <c r="H9" s="19" t="inlineStr">
        <is>
          <t>Pass</t>
        </is>
      </c>
      <c r="I9" s="19" t="inlineStr">
        <is>
          <t>Pass</t>
        </is>
      </c>
    </row>
    <row r="10" ht="28" customHeight="1">
      <c r="A10" s="20" t="inlineStr">
        <is>
          <t>SVA-008</t>
        </is>
      </c>
      <c r="B10" s="21" t="inlineStr">
        <is>
          <t>p_no_unknown_out1</t>
        </is>
      </c>
      <c r="C10" s="20" t="inlineStr">
        <is>
          <t>immediate</t>
        </is>
      </c>
      <c r="D10" s="21" t="inlineStr">
        <is>
          <t>assert final (!valid_out1 || !$isunknown(data_out1))</t>
        </is>
      </c>
      <c r="E10" s="20" t="inlineStr">
        <is>
          <t>REQ-007</t>
        </is>
      </c>
      <c r="F10" s="20" t="inlineStr">
        <is>
          <t>Structural</t>
        </is>
      </c>
      <c r="G10" s="19" t="inlineStr">
        <is>
          <t>Pass</t>
        </is>
      </c>
      <c r="H10" s="19" t="inlineStr">
        <is>
          <t>Pass</t>
        </is>
      </c>
      <c r="I10" s="19" t="inlineStr">
        <is>
          <t>Pass</t>
        </is>
      </c>
    </row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</sheetData>
  <dataValidations count="4">
    <dataValidation sqref="C4:C10" showDropDown="0" showInputMessage="0" showErrorMessage="0" allowBlank="1" type="list">
      <formula1>"concurrent,immediate,assume,cover"</formula1>
      <formula2>0</formula2>
    </dataValidation>
    <dataValidation sqref="F4:F10" showDropDown="0" showInputMessage="0" showErrorMessage="0" allowBlank="1" type="list">
      <formula1>"Safety,Functional,Interface,Structural,Reachability,Constraint"</formula1>
      <formula2>0</formula2>
    </dataValidation>
    <dataValidation sqref="G4:H10" showDropDown="0" showInputMessage="0" showErrorMessage="0" allowBlank="1" type="list">
      <formula1>"Pass,Fail,Hit"</formula1>
      <formula2>0</formula2>
    </dataValidation>
    <dataValidation sqref="I4:I10" showDropDown="0" showInputMessage="0" showErrorMessage="0" allowBlank="1" type="list">
      <formula1>"Pass,Fail,Pending"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E4620"/>
    <outlinePr summaryBelow="1" summaryRight="1"/>
    <pageSetUpPr/>
  </sheetPr>
  <dimension ref="A2:D28"/>
  <sheetViews>
    <sheetView showGridLines="0" tabSelected="1" topLeftCell="A17" zoomScaleNormal="100" workbookViewId="0">
      <selection activeCell="C34" sqref="C34"/>
    </sheetView>
  </sheetViews>
  <sheetFormatPr baseColWidth="8" defaultColWidth="8.6640625" defaultRowHeight="14.4"/>
  <cols>
    <col width="26" customWidth="1" min="1" max="1"/>
    <col width="48" customWidth="1" min="2" max="2"/>
    <col width="28" customWidth="1" min="3" max="3"/>
    <col width="48" customWidth="1" min="4" max="4"/>
  </cols>
  <sheetData>
    <row r="1" ht="7.5" customHeight="1"/>
    <row r="2" ht="36" customHeight="1">
      <c r="A2" s="5" t="inlineStr">
        <is>
          <t>Legends &amp; Reference Guide</t>
        </is>
      </c>
      <c r="B2" s="14" t="n"/>
      <c r="C2" s="14" t="n"/>
      <c r="D2" s="14" t="n"/>
    </row>
    <row r="4" ht="16.5" customHeight="1">
      <c r="A4" s="1" t="inlineStr">
        <is>
          <t>RTM — Status Values</t>
        </is>
      </c>
      <c r="B4" s="15" t="n"/>
      <c r="C4" s="1" t="inlineStr">
        <is>
          <t>SVA — Assertion Types</t>
        </is>
      </c>
      <c r="D4" s="15" t="n"/>
    </row>
    <row r="5" ht="16.5" customHeight="1">
      <c r="A5" s="12" t="inlineStr">
        <is>
          <t>Verified</t>
        </is>
      </c>
      <c r="B5" s="10" t="inlineStr">
        <is>
          <t>Test passed; actual output matches expected</t>
        </is>
      </c>
      <c r="C5" s="12" t="inlineStr">
        <is>
          <t>concurrent</t>
        </is>
      </c>
      <c r="D5" s="10" t="inlineStr">
        <is>
          <t>Clock-based; evaluated at every clock edge across multiple cycles</t>
        </is>
      </c>
    </row>
    <row r="6" ht="16.5" customHeight="1">
      <c r="A6" s="13" t="inlineStr">
        <is>
          <t>Failed</t>
        </is>
      </c>
      <c r="B6" s="8" t="inlineStr">
        <is>
          <t>Test executed but output does not match expected</t>
        </is>
      </c>
      <c r="C6" s="13" t="inlineStr">
        <is>
          <t>immediate</t>
        </is>
      </c>
      <c r="D6" s="8" t="inlineStr">
        <is>
          <t>Combinational; evaluated instantly like a procedural if-statement</t>
        </is>
      </c>
    </row>
    <row r="7" ht="16.5" customHeight="1">
      <c r="A7" s="12" t="inlineStr">
        <is>
          <t>Pending</t>
        </is>
      </c>
      <c r="B7" s="10" t="inlineStr">
        <is>
          <t>Test not yet executed</t>
        </is>
      </c>
      <c r="C7" s="12" t="inlineStr">
        <is>
          <t>assume</t>
        </is>
      </c>
      <c r="D7" s="10" t="inlineStr">
        <is>
          <t>Constrains inputs for formal verification tools</t>
        </is>
      </c>
    </row>
    <row r="8" ht="16.5" customHeight="1">
      <c r="A8" s="13" t="inlineStr">
        <is>
          <t>Blocked</t>
        </is>
      </c>
      <c r="B8" s="8" t="inlineStr">
        <is>
          <t>Cannot run due to dependency or environment issue</t>
        </is>
      </c>
      <c r="C8" s="13" t="inlineStr">
        <is>
          <t>cover</t>
        </is>
      </c>
      <c r="D8" s="8" t="inlineStr">
        <is>
          <t>Checks that a sequence or property is reachable</t>
        </is>
      </c>
    </row>
    <row r="9" ht="16.5" customHeight="1">
      <c r="A9" s="12" t="inlineStr">
        <is>
          <t>N/A</t>
        </is>
      </c>
      <c r="B9" s="10" t="inlineStr">
        <is>
          <t>Not applicable to this assignment</t>
        </is>
      </c>
    </row>
    <row r="10" ht="16.5" customHeight="1">
      <c r="C10" s="1" t="inlineStr">
        <is>
          <t>SVA — Category Definitions</t>
        </is>
      </c>
      <c r="D10" s="15" t="n"/>
    </row>
    <row r="11" ht="16.5" customHeight="1">
      <c r="A11" s="1" t="inlineStr">
        <is>
          <t>RTM — Requirement Types</t>
        </is>
      </c>
      <c r="B11" s="15" t="n"/>
      <c r="C11" s="12" t="inlineStr">
        <is>
          <t>Safety</t>
        </is>
      </c>
      <c r="D11" s="10" t="inlineStr">
        <is>
          <t>Asserts that a forbidden condition never occurs</t>
        </is>
      </c>
    </row>
    <row r="12" ht="16.5" customHeight="1">
      <c r="A12" s="12" t="inlineStr">
        <is>
          <t>Functional</t>
        </is>
      </c>
      <c r="B12" s="10" t="inlineStr">
        <is>
          <t>Describes what the design must do</t>
        </is>
      </c>
      <c r="C12" s="13" t="inlineStr">
        <is>
          <t>Functional</t>
        </is>
      </c>
      <c r="D12" s="8" t="inlineStr">
        <is>
          <t>Verifies correct functional behavior of the design</t>
        </is>
      </c>
    </row>
    <row r="13" ht="16.5" customHeight="1">
      <c r="A13" s="13" t="inlineStr">
        <is>
          <t>Timing</t>
        </is>
      </c>
      <c r="B13" s="8" t="inlineStr">
        <is>
          <t>Specifies setup, hold, or latency constraints</t>
        </is>
      </c>
      <c r="C13" s="12" t="inlineStr">
        <is>
          <t>Interface</t>
        </is>
      </c>
      <c r="D13" s="10" t="inlineStr">
        <is>
          <t>Checks protocol correctness between sender and receiver</t>
        </is>
      </c>
    </row>
    <row r="14" ht="16.5" customHeight="1">
      <c r="A14" s="12" t="inlineStr">
        <is>
          <t>Interface</t>
        </is>
      </c>
      <c r="B14" s="10" t="inlineStr">
        <is>
          <t>Defines signal protocols and handshaking</t>
        </is>
      </c>
      <c r="C14" s="13" t="inlineStr">
        <is>
          <t>Structural</t>
        </is>
      </c>
      <c r="D14" s="8" t="inlineStr">
        <is>
          <t>Verifies internal design integrity (no X/Z, no overflow)</t>
        </is>
      </c>
    </row>
    <row r="15" ht="16.5" customHeight="1">
      <c r="A15" s="13" t="inlineStr">
        <is>
          <t>Safety</t>
        </is>
      </c>
      <c r="B15" s="8" t="inlineStr">
        <is>
          <t>Covers fault detection and recovery behavior</t>
        </is>
      </c>
      <c r="C15" s="12" t="inlineStr">
        <is>
          <t>Reachability</t>
        </is>
      </c>
      <c r="D15" s="10" t="inlineStr">
        <is>
          <t>Cover property confirming a state or event can be reached</t>
        </is>
      </c>
    </row>
    <row r="16" ht="16.5" customHeight="1">
      <c r="A16" s="12" t="inlineStr">
        <is>
          <t>Structural</t>
        </is>
      </c>
      <c r="B16" s="10" t="inlineStr">
        <is>
          <t>Concerns internal architecture or resource limits</t>
        </is>
      </c>
      <c r="C16" s="13" t="inlineStr">
        <is>
          <t>Constraint</t>
        </is>
      </c>
      <c r="D16" s="8" t="inlineStr">
        <is>
          <t>Assume property restricting stimulus to legal input space</t>
        </is>
      </c>
    </row>
    <row r="18" ht="16.5" customHeight="1">
      <c r="A18" s="1" t="inlineStr">
        <is>
          <t>RTM — Priority Levels</t>
        </is>
      </c>
      <c r="B18" s="15" t="n"/>
      <c r="C18" s="1" t="inlineStr">
        <is>
          <t>SVA — Status Values</t>
        </is>
      </c>
      <c r="D18" s="15" t="n"/>
    </row>
    <row r="19" ht="16.5" customHeight="1">
      <c r="A19" s="12" t="inlineStr">
        <is>
          <t>Critical</t>
        </is>
      </c>
      <c r="B19" s="10" t="inlineStr">
        <is>
          <t>Must pass; failure blocks sign-off</t>
        </is>
      </c>
      <c r="C19" s="12" t="inlineStr">
        <is>
          <t>Pass</t>
        </is>
      </c>
      <c r="D19" s="10" t="inlineStr">
        <is>
          <t>Assertion evaluated and property held throughout simulation</t>
        </is>
      </c>
    </row>
    <row r="20" ht="16.5" customHeight="1">
      <c r="A20" s="13" t="inlineStr">
        <is>
          <t>High</t>
        </is>
      </c>
      <c r="B20" s="8" t="inlineStr">
        <is>
          <t>Core functionality; must pass for submission</t>
        </is>
      </c>
      <c r="C20" s="13" t="inlineStr">
        <is>
          <t>Fail</t>
        </is>
      </c>
      <c r="D20" s="8" t="inlineStr">
        <is>
          <t>Assertion fired; property was violated</t>
        </is>
      </c>
    </row>
    <row r="21" ht="16.5" customHeight="1">
      <c r="A21" s="12" t="inlineStr">
        <is>
          <t>Medium</t>
        </is>
      </c>
      <c r="B21" s="10" t="inlineStr">
        <is>
          <t>Important but not blocking</t>
        </is>
      </c>
      <c r="C21" s="12" t="inlineStr">
        <is>
          <t>Pending</t>
        </is>
      </c>
      <c r="D21" s="10" t="inlineStr">
        <is>
          <t>Simulation not yet run for this assertion</t>
        </is>
      </c>
    </row>
    <row r="22" ht="16.5" customHeight="1">
      <c r="A22" s="13" t="inlineStr">
        <is>
          <t>Low</t>
        </is>
      </c>
      <c r="B22" s="8" t="inlineStr">
        <is>
          <t>Nice-to-have; addressed if time permits</t>
        </is>
      </c>
    </row>
    <row r="23" ht="16.5" customHeight="1">
      <c r="C23" s="1" t="inlineStr">
        <is>
          <t>Functional Coverage — Status Values</t>
        </is>
      </c>
      <c r="D23" s="15" t="n"/>
    </row>
    <row r="24" ht="16.5" customHeight="1">
      <c r="A24" s="1" t="inlineStr">
        <is>
          <t>Functional Coverage — Bin Types</t>
        </is>
      </c>
      <c r="B24" s="15" t="n"/>
      <c r="C24" s="12" t="inlineStr">
        <is>
          <t>Hit</t>
        </is>
      </c>
      <c r="D24" s="10" t="inlineStr">
        <is>
          <t>Actual hits meet or exceed the target hits</t>
        </is>
      </c>
    </row>
    <row r="25" ht="16.5" customHeight="1">
      <c r="A25" s="12" t="inlineStr">
        <is>
          <t>bin</t>
        </is>
      </c>
      <c r="B25" s="10" t="inlineStr">
        <is>
          <t>Covers a single value or explicit list of values</t>
        </is>
      </c>
      <c r="C25" s="13" t="inlineStr">
        <is>
          <t>Miss</t>
        </is>
      </c>
      <c r="D25" s="8" t="inlineStr">
        <is>
          <t>Actual hits are below the target hits</t>
        </is>
      </c>
    </row>
    <row r="26" ht="16.5" customHeight="1">
      <c r="A26" s="13" t="inlineStr">
        <is>
          <t>cross</t>
        </is>
      </c>
      <c r="B26" s="8" t="inlineStr">
        <is>
          <t>Covers the Cartesian product of two or more coverpoints</t>
        </is>
      </c>
      <c r="C26" s="12" t="inlineStr">
        <is>
          <t>Pending</t>
        </is>
      </c>
      <c r="D26" s="10" t="inlineStr">
        <is>
          <t>Simulation not yet run for this coverpoint</t>
        </is>
      </c>
    </row>
    <row r="27" ht="16.5" customHeight="1">
      <c r="A27" s="12" t="inlineStr">
        <is>
          <t>transition</t>
        </is>
      </c>
      <c r="B27" s="10" t="inlineStr">
        <is>
          <t>Covers a specific sequence of value changes</t>
        </is>
      </c>
    </row>
    <row r="28" ht="16.5" customHeight="1">
      <c r="A28" s="13" t="inlineStr">
        <is>
          <t>wildcard</t>
        </is>
      </c>
      <c r="B28" s="8" t="inlineStr">
        <is>
          <t>Covers a range using wildcard bits</t>
        </is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</sheetData>
  <mergeCells count="9">
    <mergeCell ref="A4:B4"/>
    <mergeCell ref="A24:B24"/>
    <mergeCell ref="C10:D10"/>
    <mergeCell ref="A11:B11"/>
    <mergeCell ref="A2:D2"/>
    <mergeCell ref="C18:D18"/>
    <mergeCell ref="A18:B18"/>
    <mergeCell ref="C23:D23"/>
    <mergeCell ref="C4:D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2026-06-20T11:13:43Z</dcterms:created>
  <dcterms:modified xmlns:dcterms="http://purl.org/dc/terms/" xmlns:xsi="http://www.w3.org/2001/XMLSchema-instance" xsi:type="dcterms:W3CDTF">2026-08-26T11:47:12Z</dcterms:modified>
  <cp:lastModifiedBy>KHALED A. HAMED</cp:lastModifiedBy>
  <cp:revision>0</cp:revision>
</cp:coreProperties>
</file>